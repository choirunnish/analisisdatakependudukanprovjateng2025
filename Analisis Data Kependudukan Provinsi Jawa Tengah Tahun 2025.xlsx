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9600" windowHeight="8775" activeTab="4"/>
  </bookViews>
  <sheets>
    <sheet name="Data BPS" sheetId="1" r:id="rId1"/>
    <sheet name="Perhitungan" sheetId="2" r:id="rId2"/>
    <sheet name="Struktur Umur" sheetId="3" r:id="rId3"/>
    <sheet name="Piramida Penduduk" sheetId="4" r:id="rId4"/>
    <sheet name="Rasio Ketergantungan" sheetId="5" r:id="rId5"/>
    <sheet name="Rasio Jenis Kelamin" sheetId="6" r:id="rId6"/>
    <sheet name="Child Women Ratio" sheetId="7" r:id="rId7"/>
  </sheets>
  <calcPr calcId="144525"/>
</workbook>
</file>

<file path=xl/calcChain.xml><?xml version="1.0" encoding="utf-8"?>
<calcChain xmlns="http://schemas.openxmlformats.org/spreadsheetml/2006/main">
  <c r="F5" i="6" l="1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4" i="6"/>
  <c r="F20" i="6" l="1"/>
  <c r="C7" i="3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3" i="4"/>
  <c r="D19" i="4"/>
  <c r="C19" i="4"/>
  <c r="C24" i="7"/>
  <c r="C23" i="7"/>
  <c r="C22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D20" i="7"/>
  <c r="C20" i="7"/>
  <c r="C23" i="6"/>
  <c r="D20" i="6"/>
  <c r="C20" i="6"/>
  <c r="E20" i="6" s="1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F21" i="5"/>
  <c r="D22" i="5"/>
  <c r="C22" i="5"/>
  <c r="E22" i="5" s="1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F6" i="5" s="1"/>
  <c r="E7" i="5"/>
  <c r="E6" i="5"/>
  <c r="F9" i="5" l="1"/>
  <c r="F22" i="5" s="1"/>
  <c r="C8" i="3"/>
  <c r="D5" i="3" s="1"/>
  <c r="C6" i="3"/>
  <c r="C5" i="3"/>
  <c r="D8" i="3" l="1"/>
  <c r="D7" i="3"/>
  <c r="D6" i="3"/>
  <c r="I19" i="2"/>
  <c r="I18" i="2"/>
  <c r="I17" i="2"/>
  <c r="I16" i="2"/>
  <c r="I15" i="2"/>
  <c r="I14" i="2"/>
  <c r="I13" i="2"/>
  <c r="J13" i="2" s="1"/>
  <c r="I12" i="2"/>
  <c r="I11" i="2"/>
  <c r="I10" i="2"/>
  <c r="I9" i="2"/>
  <c r="I8" i="2"/>
  <c r="I7" i="2"/>
  <c r="J7" i="2" s="1"/>
  <c r="I20" i="2"/>
  <c r="J20" i="2" s="1"/>
  <c r="F21" i="2"/>
  <c r="J11" i="2"/>
  <c r="J17" i="2"/>
  <c r="J8" i="2"/>
  <c r="J9" i="2"/>
  <c r="J12" i="2"/>
  <c r="J15" i="2"/>
  <c r="J16" i="2"/>
  <c r="J19" i="2"/>
  <c r="H24" i="2"/>
  <c r="H23" i="2"/>
  <c r="F23" i="2"/>
  <c r="J10" i="2"/>
  <c r="J14" i="2"/>
  <c r="J18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7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6" i="2"/>
  <c r="D22" i="2"/>
  <c r="C22" i="2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5" i="1"/>
  <c r="D21" i="1"/>
  <c r="C21" i="1"/>
  <c r="J23" i="2" l="1"/>
  <c r="J24" i="2" s="1"/>
  <c r="F24" i="2"/>
  <c r="F25" i="2" l="1"/>
</calcChain>
</file>

<file path=xl/sharedStrings.xml><?xml version="1.0" encoding="utf-8"?>
<sst xmlns="http://schemas.openxmlformats.org/spreadsheetml/2006/main" count="181" uniqueCount="48">
  <si>
    <t>Kelompok Umur</t>
  </si>
  <si>
    <t>Laki-Laki</t>
  </si>
  <si>
    <t>Perempuan</t>
  </si>
  <si>
    <t>Jumlah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</si>
  <si>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</si>
  <si>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</si>
  <si>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</si>
  <si>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</si>
  <si>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</si>
  <si>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</si>
  <si>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</si>
  <si>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</si>
  <si>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</si>
  <si>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</si>
  <si>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</si>
  <si>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</si>
  <si>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</si>
  <si>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</si>
  <si>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</si>
  <si>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</si>
  <si>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TOTAL</t>
  </si>
  <si>
    <t>Jumlah Penduduk</t>
  </si>
  <si>
    <t>65+</t>
  </si>
  <si>
    <t>Data Jumlah Penduduk Menurut Kelompok Umur dan Jenis Kelamin di Provinsi Jawa Tengah Tahun 2025</t>
  </si>
  <si>
    <t>Jumlah Penduduk (Laki-Laki + Perempuan) (Ribu)</t>
  </si>
  <si>
    <t>Laki-Laki (Ribu)</t>
  </si>
  <si>
    <t>Perempuan (Ribu)</t>
  </si>
  <si>
    <t>Sumber Data: https://jateng.bps.go.id/id/statistics-table/3/WVc0MGEyMXBkVFUxY25KeE9HdDZkbTQzWkVkb1p6MDkjMw==/jumlah-penduduk-menurut-kelompok-umur-dan-jenis-kelamin--ribu-jiwa--di-provinsi-jawa-tengah--2020.html?year=2025</t>
  </si>
  <si>
    <t>Analisis Rasio Jenis Kelamin</t>
  </si>
  <si>
    <t>Rasio</t>
  </si>
  <si>
    <t>Perbedaan Rasio</t>
  </si>
  <si>
    <t xml:space="preserve">Analisis Rasio Umur </t>
  </si>
  <si>
    <t>Deviasi dari 100</t>
  </si>
  <si>
    <t>Total</t>
  </si>
  <si>
    <t>Rata-Rata</t>
  </si>
  <si>
    <t>Indeks (3 kali perbedaan rata-rata rasio jenis kelamin ditambah deviasi rata-rata rasio usia pria dan wanita)</t>
  </si>
  <si>
    <r>
      <t xml:space="preserve">PERHITUNGAN </t>
    </r>
    <r>
      <rPr>
        <b/>
        <i/>
        <sz val="12"/>
        <color theme="1"/>
        <rFont val="Times New Roman"/>
        <family val="1"/>
      </rPr>
      <t>UNITED NATION INDEX</t>
    </r>
  </si>
  <si>
    <t>0 - 14</t>
  </si>
  <si>
    <t>15 - 64</t>
  </si>
  <si>
    <t>%</t>
  </si>
  <si>
    <t>Struktur Umur Penduduk Provinsi Jawa Tengah Tahun 2025</t>
  </si>
  <si>
    <t>Rasio Ketergantungan</t>
  </si>
  <si>
    <t>RASIO KETERGANTUNGAN</t>
  </si>
  <si>
    <t>Sex Ratio</t>
  </si>
  <si>
    <t>Jumlah penduduk wanita subur usia 15-49 tahun</t>
  </si>
  <si>
    <t>Child Women Ratio</t>
  </si>
  <si>
    <t>Jumlah anak usia 0-4 tahun</t>
  </si>
  <si>
    <t>Terdapat (....) laki-laki pada 100 penduduk 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</si>
</sst>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#,##0.0"/>
    <numFmt numFmtId="166" formatCode="0.0"/>
    <numFmt numFmtId="167" formatCode="#,##0;[Red]#,##0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NumberFormat="1" applyFont="1"/>
    <xf numFmtId="0" fontId="3" fillId="0" borderId="0" xfId="0" applyNumberFormat="1" applyFont="1"/>
    <xf numFmtId="0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164" fontId="2" fillId="0" borderId="1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3" fontId="2" fillId="0" borderId="1" xfId="0" applyNumberFormat="1" applyFont="1" applyBorder="1"/>
    <xf numFmtId="3" fontId="3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6" fontId="2" fillId="0" borderId="0" xfId="0" applyNumberFormat="1" applyFont="1"/>
    <xf numFmtId="166" fontId="2" fillId="0" borderId="0" xfId="0" applyNumberFormat="1" applyFont="1" applyAlignment="1">
      <alignment horizontal="center" vertical="center"/>
    </xf>
    <xf numFmtId="3" fontId="2" fillId="0" borderId="0" xfId="0" applyNumberFormat="1" applyFont="1"/>
    <xf numFmtId="0" fontId="3" fillId="2" borderId="2" xfId="0" applyNumberFormat="1" applyFont="1" applyFill="1" applyBorder="1" applyAlignment="1">
      <alignment vertical="center" wrapText="1"/>
    </xf>
    <xf numFmtId="167" fontId="2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3" fillId="2" borderId="10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2" borderId="11" xfId="0" applyNumberFormat="1" applyFont="1" applyFill="1" applyBorder="1" applyAlignment="1">
      <alignment horizontal="center" vertical="center" wrapText="1"/>
    </xf>
    <xf numFmtId="0" fontId="3" fillId="2" borderId="9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d-ID">
                <a:latin typeface="Times New Roman" pitchFamily="18" charset="0"/>
                <a:cs typeface="Times New Roman" pitchFamily="18" charset="0"/>
              </a:rPr>
              <a:t>Piramida Penduduk Provinsi Jawa Tengah Tahun 2025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Laki-Laki</c:v>
          </c:tx>
          <c:spPr>
            <a:ln>
              <a:solidFill>
                <a:schemeClr val="bg1"/>
              </a:solidFill>
            </a:ln>
          </c:spPr>
          <c:invertIfNegative val="0"/>
          <c:cat>
            <c:strRef>
              <c:f>'Piramida Penduduk'!$F$3:$F$18</c:f>
              <c:strCache>
                <c:ptCount val="16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75+</c:v>
                </c:pt>
              </c:strCache>
            </c:strRef>
          </c:cat>
          <c:val>
            <c:numRef>
              <c:f>'Piramida Penduduk'!$G$3:$G$18</c:f>
              <c:numCache>
                <c:formatCode>#,##0;[Red]#,##0</c:formatCode>
                <c:ptCount val="16"/>
                <c:pt idx="0">
                  <c:v>-1453486</c:v>
                </c:pt>
                <c:pt idx="1">
                  <c:v>-1378005</c:v>
                </c:pt>
                <c:pt idx="2">
                  <c:v>-1388617</c:v>
                </c:pt>
                <c:pt idx="3">
                  <c:v>-1434037</c:v>
                </c:pt>
                <c:pt idx="4">
                  <c:v>-1453872</c:v>
                </c:pt>
                <c:pt idx="5">
                  <c:v>-1488450</c:v>
                </c:pt>
                <c:pt idx="6">
                  <c:v>-1478667</c:v>
                </c:pt>
                <c:pt idx="7">
                  <c:v>-1457127</c:v>
                </c:pt>
                <c:pt idx="8">
                  <c:v>-1404285</c:v>
                </c:pt>
                <c:pt idx="9">
                  <c:v>-1344073</c:v>
                </c:pt>
                <c:pt idx="10">
                  <c:v>-1229032</c:v>
                </c:pt>
                <c:pt idx="11">
                  <c:v>-1100859</c:v>
                </c:pt>
                <c:pt idx="12">
                  <c:v>-920100</c:v>
                </c:pt>
                <c:pt idx="13">
                  <c:v>-721747</c:v>
                </c:pt>
                <c:pt idx="14">
                  <c:v>-500418</c:v>
                </c:pt>
                <c:pt idx="15">
                  <c:v>-450659</c:v>
                </c:pt>
              </c:numCache>
            </c:numRef>
          </c:val>
        </c:ser>
        <c:ser>
          <c:idx val="1"/>
          <c:order val="1"/>
          <c:tx>
            <c:v>Perempuan</c:v>
          </c:tx>
          <c:spPr>
            <a:ln>
              <a:solidFill>
                <a:schemeClr val="bg1"/>
              </a:solidFill>
            </a:ln>
          </c:spPr>
          <c:invertIfNegative val="0"/>
          <c:cat>
            <c:strRef>
              <c:f>'Piramida Penduduk'!$F$3:$F$18</c:f>
              <c:strCache>
                <c:ptCount val="16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75+</c:v>
                </c:pt>
              </c:strCache>
            </c:strRef>
          </c:cat>
          <c:val>
            <c:numRef>
              <c:f>'Piramida Penduduk'!$H$3:$H$18</c:f>
              <c:numCache>
                <c:formatCode>#,##0;[Red]#,##0</c:formatCode>
                <c:ptCount val="16"/>
                <c:pt idx="0">
                  <c:v>1395492</c:v>
                </c:pt>
                <c:pt idx="1">
                  <c:v>1314670</c:v>
                </c:pt>
                <c:pt idx="2">
                  <c:v>1324616</c:v>
                </c:pt>
                <c:pt idx="3">
                  <c:v>1349663</c:v>
                </c:pt>
                <c:pt idx="4">
                  <c:v>1371580</c:v>
                </c:pt>
                <c:pt idx="5">
                  <c:v>1405197</c:v>
                </c:pt>
                <c:pt idx="6">
                  <c:v>1407466</c:v>
                </c:pt>
                <c:pt idx="7">
                  <c:v>1406076</c:v>
                </c:pt>
                <c:pt idx="8">
                  <c:v>1376799</c:v>
                </c:pt>
                <c:pt idx="9">
                  <c:v>1352647</c:v>
                </c:pt>
                <c:pt idx="10">
                  <c:v>1260829</c:v>
                </c:pt>
                <c:pt idx="11">
                  <c:v>1156162</c:v>
                </c:pt>
                <c:pt idx="12">
                  <c:v>984473</c:v>
                </c:pt>
                <c:pt idx="13">
                  <c:v>779311</c:v>
                </c:pt>
                <c:pt idx="14">
                  <c:v>558377</c:v>
                </c:pt>
                <c:pt idx="15">
                  <c:v>587141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62551808"/>
        <c:axId val="262553600"/>
      </c:barChart>
      <c:catAx>
        <c:axId val="262551808"/>
        <c:scaling>
          <c:orientation val="minMax"/>
        </c:scaling>
        <c:delete val="0"/>
        <c:axPos val="l"/>
        <c:majorTickMark val="out"/>
        <c:minorTickMark val="none"/>
        <c:tickLblPos val="low"/>
        <c:crossAx val="262553600"/>
        <c:crosses val="autoZero"/>
        <c:auto val="1"/>
        <c:lblAlgn val="ctr"/>
        <c:lblOffset val="100"/>
        <c:noMultiLvlLbl val="0"/>
      </c:catAx>
      <c:valAx>
        <c:axId val="262553600"/>
        <c:scaling>
          <c:orientation val="minMax"/>
        </c:scaling>
        <c:delete val="0"/>
        <c:axPos val="b"/>
        <c:numFmt formatCode="0;0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id-ID"/>
          </a:p>
        </c:txPr>
        <c:crossAx val="26255180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>
                <a:latin typeface="Times New Roman" pitchFamily="18" charset="0"/>
                <a:cs typeface="Times New Roman" pitchFamily="18" charset="0"/>
              </a:rPr>
              <a:t>Rasio Jenis Kelamin</a:t>
            </a:r>
            <a:r>
              <a:rPr lang="id-ID" sz="2000">
                <a:latin typeface="Times New Roman" pitchFamily="18" charset="0"/>
                <a:cs typeface="Times New Roman" pitchFamily="18" charset="0"/>
              </a:rPr>
              <a:t> Menurut Kelompok Umur</a:t>
            </a:r>
            <a:endParaRPr lang="en-US" sz="2000">
              <a:latin typeface="Times New Roman" pitchFamily="18" charset="0"/>
              <a:cs typeface="Times New Roman" pitchFamily="18" charset="0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Rasio Jenis Kelamin</c:v>
          </c:tx>
          <c:marker>
            <c:symbol val="none"/>
          </c:marker>
          <c:cat>
            <c:strRef>
              <c:f>'Rasio Jenis Kelamin'!$B$4:$B$19</c:f>
              <c:strCache>
                <c:ptCount val="16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75+</c:v>
                </c:pt>
              </c:strCache>
            </c:strRef>
          </c:cat>
          <c:val>
            <c:numRef>
              <c:f>'Rasio Jenis Kelamin'!$F$4:$F$19</c:f>
              <c:numCache>
                <c:formatCode>0</c:formatCode>
                <c:ptCount val="16"/>
                <c:pt idx="0">
                  <c:v>104.1558102805319</c:v>
                </c:pt>
                <c:pt idx="1">
                  <c:v>104.81755877900918</c:v>
                </c:pt>
                <c:pt idx="2">
                  <c:v>104.83166442199096</c:v>
                </c:pt>
                <c:pt idx="3">
                  <c:v>106.25148648218111</c:v>
                </c:pt>
                <c:pt idx="4">
                  <c:v>105.99979585587424</c:v>
                </c:pt>
                <c:pt idx="5">
                  <c:v>105.92464971103696</c:v>
                </c:pt>
                <c:pt idx="6">
                  <c:v>105.05880781489572</c:v>
                </c:pt>
                <c:pt idx="7">
                  <c:v>103.6307425772149</c:v>
                </c:pt>
                <c:pt idx="8">
                  <c:v>101.9963698404778</c:v>
                </c:pt>
                <c:pt idx="9">
                  <c:v>99.366131740210122</c:v>
                </c:pt>
                <c:pt idx="10">
                  <c:v>97.478087829515346</c:v>
                </c:pt>
                <c:pt idx="11">
                  <c:v>95.216673787929381</c:v>
                </c:pt>
                <c:pt idx="12">
                  <c:v>93.461171611613523</c:v>
                </c:pt>
                <c:pt idx="13">
                  <c:v>92.613475236458882</c:v>
                </c:pt>
                <c:pt idx="14">
                  <c:v>89.620095383584925</c:v>
                </c:pt>
                <c:pt idx="15">
                  <c:v>76.754816986039131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2243456"/>
        <c:axId val="262245376"/>
      </c:lineChart>
      <c:catAx>
        <c:axId val="262243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id-ID" sz="1200">
                    <a:latin typeface="Times New Roman" pitchFamily="18" charset="0"/>
                    <a:cs typeface="Times New Roman" pitchFamily="18" charset="0"/>
                  </a:rPr>
                  <a:t>Kelompok Umur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62245376"/>
        <c:crosses val="autoZero"/>
        <c:auto val="1"/>
        <c:lblAlgn val="ctr"/>
        <c:lblOffset val="100"/>
        <c:noMultiLvlLbl val="0"/>
      </c:catAx>
      <c:valAx>
        <c:axId val="262245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id-ID" sz="1200">
                    <a:latin typeface="Times New Roman" pitchFamily="18" charset="0"/>
                    <a:cs typeface="Times New Roman" pitchFamily="18" charset="0"/>
                  </a:rPr>
                  <a:t>Sex Ratio Menurut Kelompok</a:t>
                </a:r>
                <a:r>
                  <a:rPr lang="id-ID" sz="1200" baseline="0">
                    <a:latin typeface="Times New Roman" pitchFamily="18" charset="0"/>
                    <a:cs typeface="Times New Roman" pitchFamily="18" charset="0"/>
                  </a:rPr>
                  <a:t> Umur</a:t>
                </a:r>
                <a:endParaRPr lang="id-ID" sz="12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/>
          <c:overlay val="0"/>
        </c:title>
        <c:numFmt formatCode="0" sourceLinked="1"/>
        <c:majorTickMark val="out"/>
        <c:minorTickMark val="none"/>
        <c:tickLblPos val="nextTo"/>
        <c:crossAx val="262243456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317499</xdr:colOff>
      <xdr:row>22</xdr:row>
      <xdr:rowOff>57147</xdr:rowOff>
    </xdr:from>
    <xdr:to>
      <xdr:col>8</xdr:col>
      <xdr:colOff>317500</xdr:colOff>
      <xdr:row>49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415016</xdr:colOff>
      <xdr:row>25</xdr:row>
      <xdr:rowOff>131988</xdr:rowOff>
    </xdr:from>
    <xdr:to>
      <xdr:col>6</xdr:col>
      <xdr:colOff>95250</xdr:colOff>
      <xdr:row>45</xdr:row>
      <xdr:rowOff>68035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I9" sqref="I9:J10"/>
    </sheetView>
  </sheetViews>
  <sheetFormatPr defaultRowHeight="15.75" x14ac:dyDescent="0.25"/>
  <cols>
    <col min="1" max="1" width="9" style="1"/>
    <col min="2" max="2" width="14.75" style="1" bestFit="1" customWidth="1"/>
    <col min="3" max="3" width="15.125" style="1" bestFit="1" customWidth="1"/>
    <col min="4" max="4" width="16.125" style="1" bestFit="1" customWidth="1"/>
    <col min="5" max="5" width="44" style="1" bestFit="1" customWidth="1"/>
    <col min="6" max="9" width="9" style="1"/>
    <col min="10" max="10" width="9.875" style="1" bestFit="1" customWidth="1"/>
    <col min="11" max="16384" width="9" style="1"/>
  </cols>
  <sheetData>
    <row r="1" spans="1:10" x14ac:dyDescent="0.25">
      <c r="A1" s="2" t="s">
        <v>23</v>
      </c>
    </row>
    <row r="3" spans="1:10" ht="15.75" customHeight="1" x14ac:dyDescent="0.25">
      <c r="B3" s="34" t="s">
        <v>0</v>
      </c>
      <c r="C3" s="34" t="s">
        <v>21</v>
      </c>
      <c r="D3" s="34"/>
      <c r="E3" s="33" t="s">
        <v>24</v>
      </c>
    </row>
    <row r="4" spans="1:10" x14ac:dyDescent="0.25">
      <c r="B4" s="34"/>
      <c r="C4" s="9" t="s">
        <v>25</v>
      </c>
      <c r="D4" s="9" t="s">
        <v>26</v>
      </c>
      <c r="E4" s="33"/>
    </row>
    <row r="5" spans="1:10" x14ac:dyDescent="0.25">
      <c r="B5" s="3" t="s">
        <v>4</v>
      </c>
      <c r="C5" s="4">
        <v>1453486</v>
      </c>
      <c r="D5" s="4">
        <v>1395492</v>
      </c>
      <c r="E5" s="4">
        <f>SUM(C5:D5)</f>
        <v>2848978</v>
      </c>
    </row>
    <row r="6" spans="1:10" x14ac:dyDescent="0.25">
      <c r="B6" s="3" t="s">
        <v>5</v>
      </c>
      <c r="C6" s="5">
        <v>1378005</v>
      </c>
      <c r="D6" s="4">
        <v>1314670</v>
      </c>
      <c r="E6" s="4">
        <f t="shared" ref="E6:E21" si="0">SUM(C6:D6)</f>
        <v>2692675</v>
      </c>
    </row>
    <row r="7" spans="1:10" x14ac:dyDescent="0.25">
      <c r="B7" s="3" t="s">
        <v>6</v>
      </c>
      <c r="C7" s="4">
        <v>1388617</v>
      </c>
      <c r="D7" s="4">
        <v>1324616</v>
      </c>
      <c r="E7" s="4">
        <f t="shared" si="0"/>
        <v>2713233</v>
      </c>
    </row>
    <row r="8" spans="1:10" x14ac:dyDescent="0.25">
      <c r="B8" s="3" t="s">
        <v>7</v>
      </c>
      <c r="C8" s="4">
        <v>1434037</v>
      </c>
      <c r="D8" s="4">
        <v>1349663</v>
      </c>
      <c r="E8" s="4">
        <f t="shared" si="0"/>
        <v>2783700</v>
      </c>
    </row>
    <row r="9" spans="1:10" x14ac:dyDescent="0.25">
      <c r="B9" s="3" t="s">
        <v>8</v>
      </c>
      <c r="C9" s="4">
        <v>1453872</v>
      </c>
      <c r="D9" s="4">
        <v>1371580</v>
      </c>
      <c r="E9" s="4">
        <f t="shared" si="0"/>
        <v>2825452</v>
      </c>
      <c r="J9" s="28"/>
    </row>
    <row r="10" spans="1:10" x14ac:dyDescent="0.25">
      <c r="B10" s="3" t="s">
        <v>9</v>
      </c>
      <c r="C10" s="4">
        <v>1488450</v>
      </c>
      <c r="D10" s="4">
        <v>1405197</v>
      </c>
      <c r="E10" s="4">
        <f t="shared" si="0"/>
        <v>2893647</v>
      </c>
      <c r="J10" s="28"/>
    </row>
    <row r="11" spans="1:10" x14ac:dyDescent="0.25">
      <c r="B11" s="3" t="s">
        <v>10</v>
      </c>
      <c r="C11" s="4">
        <v>1478667</v>
      </c>
      <c r="D11" s="4">
        <v>1407466</v>
      </c>
      <c r="E11" s="4">
        <f t="shared" si="0"/>
        <v>2886133</v>
      </c>
    </row>
    <row r="12" spans="1:10" x14ac:dyDescent="0.25">
      <c r="B12" s="3" t="s">
        <v>11</v>
      </c>
      <c r="C12" s="4">
        <v>1457127</v>
      </c>
      <c r="D12" s="4">
        <v>1406076</v>
      </c>
      <c r="E12" s="4">
        <f t="shared" si="0"/>
        <v>2863203</v>
      </c>
    </row>
    <row r="13" spans="1:10" x14ac:dyDescent="0.25">
      <c r="B13" s="3" t="s">
        <v>12</v>
      </c>
      <c r="C13" s="4">
        <v>1404285</v>
      </c>
      <c r="D13" s="4">
        <v>1376799</v>
      </c>
      <c r="E13" s="4">
        <f t="shared" si="0"/>
        <v>2781084</v>
      </c>
    </row>
    <row r="14" spans="1:10" x14ac:dyDescent="0.25">
      <c r="B14" s="3" t="s">
        <v>13</v>
      </c>
      <c r="C14" s="4">
        <v>1344073</v>
      </c>
      <c r="D14" s="4">
        <v>1352647</v>
      </c>
      <c r="E14" s="4">
        <f t="shared" si="0"/>
        <v>2696720</v>
      </c>
    </row>
    <row r="15" spans="1:10" x14ac:dyDescent="0.25">
      <c r="B15" s="3" t="s">
        <v>14</v>
      </c>
      <c r="C15" s="4">
        <v>1229032</v>
      </c>
      <c r="D15" s="4">
        <v>1260829</v>
      </c>
      <c r="E15" s="4">
        <f t="shared" si="0"/>
        <v>2489861</v>
      </c>
    </row>
    <row r="16" spans="1:10" x14ac:dyDescent="0.25">
      <c r="B16" s="3" t="s">
        <v>15</v>
      </c>
      <c r="C16" s="4">
        <v>1100859</v>
      </c>
      <c r="D16" s="4">
        <v>1156162</v>
      </c>
      <c r="E16" s="4">
        <f t="shared" si="0"/>
        <v>2257021</v>
      </c>
    </row>
    <row r="17" spans="2:5" x14ac:dyDescent="0.25">
      <c r="B17" s="3" t="s">
        <v>16</v>
      </c>
      <c r="C17" s="4">
        <v>920100</v>
      </c>
      <c r="D17" s="4">
        <v>984473</v>
      </c>
      <c r="E17" s="4">
        <f t="shared" si="0"/>
        <v>1904573</v>
      </c>
    </row>
    <row r="18" spans="2:5" x14ac:dyDescent="0.25">
      <c r="B18" s="3" t="s">
        <v>17</v>
      </c>
      <c r="C18" s="4">
        <v>721747</v>
      </c>
      <c r="D18" s="4">
        <v>779311</v>
      </c>
      <c r="E18" s="4">
        <f t="shared" si="0"/>
        <v>1501058</v>
      </c>
    </row>
    <row r="19" spans="2:5" x14ac:dyDescent="0.25">
      <c r="B19" s="3" t="s">
        <v>18</v>
      </c>
      <c r="C19" s="4">
        <v>500418</v>
      </c>
      <c r="D19" s="4">
        <v>558377</v>
      </c>
      <c r="E19" s="4">
        <f t="shared" si="0"/>
        <v>1058795</v>
      </c>
    </row>
    <row r="20" spans="2:5" x14ac:dyDescent="0.25">
      <c r="B20" s="6" t="s">
        <v>19</v>
      </c>
      <c r="C20" s="4">
        <v>450659</v>
      </c>
      <c r="D20" s="4">
        <v>587141</v>
      </c>
      <c r="E20" s="4">
        <f t="shared" si="0"/>
        <v>1037800</v>
      </c>
    </row>
    <row r="21" spans="2:5" x14ac:dyDescent="0.25">
      <c r="B21" s="7" t="s">
        <v>20</v>
      </c>
      <c r="C21" s="8">
        <f>SUM(C5:C20)</f>
        <v>19203434</v>
      </c>
      <c r="D21" s="8">
        <f>SUM(D5:D20)</f>
        <v>19030499</v>
      </c>
      <c r="E21" s="8">
        <f t="shared" si="0"/>
        <v>38233933</v>
      </c>
    </row>
    <row r="23" spans="2:5" x14ac:dyDescent="0.25">
      <c r="B23" s="1" t="s">
        <v>27</v>
      </c>
    </row>
  </sheetData>
  <mergeCells count="3">
    <mergeCell ref="E3:E4"/>
    <mergeCell ref="C3:D3"/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topLeftCell="B1" zoomScale="90" zoomScaleNormal="90" workbookViewId="0">
      <selection activeCell="C29" sqref="C29"/>
    </sheetView>
  </sheetViews>
  <sheetFormatPr defaultRowHeight="15.75" x14ac:dyDescent="0.25"/>
  <cols>
    <col min="1" max="1" width="9" style="10"/>
    <col min="2" max="2" width="15.25" style="10" bestFit="1" customWidth="1"/>
    <col min="3" max="3" width="15.875" style="10" bestFit="1" customWidth="1"/>
    <col min="4" max="4" width="16.875" style="10" customWidth="1"/>
    <col min="5" max="5" width="11.125" style="10" customWidth="1"/>
    <col min="6" max="6" width="15.375" style="10" customWidth="1"/>
    <col min="7" max="7" width="7.375" style="10" bestFit="1" customWidth="1"/>
    <col min="8" max="8" width="14.75" style="10" bestFit="1" customWidth="1"/>
    <col min="9" max="9" width="7.375" style="10" bestFit="1" customWidth="1"/>
    <col min="10" max="10" width="14.75" style="10" bestFit="1" customWidth="1"/>
    <col min="11" max="16384" width="9" style="10"/>
  </cols>
  <sheetData>
    <row r="1" spans="2:10" x14ac:dyDescent="0.25">
      <c r="B1" s="35" t="s">
        <v>36</v>
      </c>
      <c r="C1" s="35"/>
      <c r="D1" s="35"/>
      <c r="E1" s="35"/>
      <c r="F1" s="35"/>
      <c r="G1" s="35"/>
      <c r="H1" s="35"/>
      <c r="I1" s="35"/>
      <c r="J1" s="35"/>
    </row>
    <row r="3" spans="2:10" ht="15.75" customHeight="1" x14ac:dyDescent="0.25">
      <c r="B3" s="44" t="s">
        <v>0</v>
      </c>
      <c r="C3" s="47" t="s">
        <v>21</v>
      </c>
      <c r="D3" s="48"/>
      <c r="E3" s="41" t="s">
        <v>28</v>
      </c>
      <c r="F3" s="41"/>
      <c r="G3" s="41" t="s">
        <v>31</v>
      </c>
      <c r="H3" s="41"/>
      <c r="I3" s="41" t="s">
        <v>31</v>
      </c>
      <c r="J3" s="41"/>
    </row>
    <row r="4" spans="2:10" x14ac:dyDescent="0.25">
      <c r="B4" s="45"/>
      <c r="C4" s="49"/>
      <c r="D4" s="50"/>
      <c r="E4" s="41"/>
      <c r="F4" s="41"/>
      <c r="G4" s="41" t="s">
        <v>1</v>
      </c>
      <c r="H4" s="41"/>
      <c r="I4" s="41" t="s">
        <v>2</v>
      </c>
      <c r="J4" s="41"/>
    </row>
    <row r="5" spans="2:10" x14ac:dyDescent="0.25">
      <c r="B5" s="46"/>
      <c r="C5" s="9" t="s">
        <v>25</v>
      </c>
      <c r="D5" s="9" t="s">
        <v>26</v>
      </c>
      <c r="E5" s="19" t="s">
        <v>29</v>
      </c>
      <c r="F5" s="19" t="s">
        <v>30</v>
      </c>
      <c r="G5" s="19" t="s">
        <v>29</v>
      </c>
      <c r="H5" s="19" t="s">
        <v>32</v>
      </c>
      <c r="I5" s="19" t="s">
        <v>29</v>
      </c>
      <c r="J5" s="19" t="s">
        <v>32</v>
      </c>
    </row>
    <row r="6" spans="2:10" x14ac:dyDescent="0.25">
      <c r="B6" s="3" t="s">
        <v>4</v>
      </c>
      <c r="C6" s="4">
        <v>1453486</v>
      </c>
      <c r="D6" s="4">
        <v>1395492</v>
      </c>
      <c r="E6" s="16">
        <f>(C6/D6)*100</f>
        <v>104.1558102805319</v>
      </c>
      <c r="F6" s="16"/>
      <c r="G6" s="14"/>
      <c r="H6" s="14"/>
      <c r="I6" s="14"/>
      <c r="J6" s="14"/>
    </row>
    <row r="7" spans="2:10" x14ac:dyDescent="0.25">
      <c r="B7" s="3" t="s">
        <v>5</v>
      </c>
      <c r="C7" s="5">
        <v>1378005</v>
      </c>
      <c r="D7" s="4">
        <v>1314670</v>
      </c>
      <c r="E7" s="16">
        <f t="shared" ref="E7:E21" si="0">(C7/D7)*100</f>
        <v>104.81755877900918</v>
      </c>
      <c r="F7" s="16">
        <f>E6-E7</f>
        <v>-0.66174849847728012</v>
      </c>
      <c r="G7" s="11">
        <f>(C7/((C6+C8)/2))*100</f>
        <v>96.97079943971066</v>
      </c>
      <c r="H7" s="11">
        <f>G7-100</f>
        <v>-3.0292005602893397</v>
      </c>
      <c r="I7" s="11">
        <f t="shared" ref="I7:I19" si="1">(D7/((D6+D8)/2))*100</f>
        <v>96.663073672074788</v>
      </c>
      <c r="J7" s="11">
        <f>I7-100</f>
        <v>-3.3369263279252124</v>
      </c>
    </row>
    <row r="8" spans="2:10" x14ac:dyDescent="0.25">
      <c r="B8" s="3" t="s">
        <v>6</v>
      </c>
      <c r="C8" s="4">
        <v>1388617</v>
      </c>
      <c r="D8" s="4">
        <v>1324616</v>
      </c>
      <c r="E8" s="16">
        <f t="shared" si="0"/>
        <v>104.83166442199096</v>
      </c>
      <c r="F8" s="16">
        <f t="shared" ref="F8:F21" si="2">E7-E8</f>
        <v>-1.4105642981789401E-2</v>
      </c>
      <c r="G8" s="11">
        <f t="shared" ref="G8:G20" si="3">(C8/((C7+C9)/2))*100</f>
        <v>98.762180650217886</v>
      </c>
      <c r="H8" s="11">
        <f t="shared" ref="H8:H20" si="4">G8-100</f>
        <v>-1.2378193497821144</v>
      </c>
      <c r="I8" s="11">
        <f t="shared" si="1"/>
        <v>99.433216493583942</v>
      </c>
      <c r="J8" s="11">
        <f t="shared" ref="J8:J20" si="5">I8-100</f>
        <v>-0.56678350641605846</v>
      </c>
    </row>
    <row r="9" spans="2:10" x14ac:dyDescent="0.25">
      <c r="B9" s="3" t="s">
        <v>7</v>
      </c>
      <c r="C9" s="4">
        <v>1434037</v>
      </c>
      <c r="D9" s="4">
        <v>1349663</v>
      </c>
      <c r="E9" s="16">
        <f t="shared" si="0"/>
        <v>106.25148648218111</v>
      </c>
      <c r="F9" s="16">
        <f t="shared" si="2"/>
        <v>-1.4198220601901426</v>
      </c>
      <c r="G9" s="11">
        <f t="shared" si="3"/>
        <v>100.90009143395102</v>
      </c>
      <c r="H9" s="11">
        <f t="shared" si="4"/>
        <v>0.90009143395101887</v>
      </c>
      <c r="I9" s="11">
        <f t="shared" si="1"/>
        <v>100.11608948310879</v>
      </c>
      <c r="J9" s="11">
        <f t="shared" si="5"/>
        <v>0.11608948310879441</v>
      </c>
    </row>
    <row r="10" spans="2:10" x14ac:dyDescent="0.25">
      <c r="B10" s="3" t="s">
        <v>8</v>
      </c>
      <c r="C10" s="4">
        <v>1453872</v>
      </c>
      <c r="D10" s="4">
        <v>1371580</v>
      </c>
      <c r="E10" s="16">
        <f t="shared" si="0"/>
        <v>105.99979585587424</v>
      </c>
      <c r="F10" s="16">
        <f t="shared" si="2"/>
        <v>0.25169062630686767</v>
      </c>
      <c r="G10" s="11">
        <f t="shared" si="3"/>
        <v>99.495532400999565</v>
      </c>
      <c r="H10" s="11">
        <f t="shared" si="4"/>
        <v>-0.50446759900043503</v>
      </c>
      <c r="I10" s="11">
        <f t="shared" si="1"/>
        <v>99.57529602230241</v>
      </c>
      <c r="J10" s="11">
        <f t="shared" si="5"/>
        <v>-0.42470397769758961</v>
      </c>
    </row>
    <row r="11" spans="2:10" x14ac:dyDescent="0.25">
      <c r="B11" s="3" t="s">
        <v>9</v>
      </c>
      <c r="C11" s="4">
        <v>1488450</v>
      </c>
      <c r="D11" s="4">
        <v>1405197</v>
      </c>
      <c r="E11" s="16">
        <f t="shared" si="0"/>
        <v>105.92464971103696</v>
      </c>
      <c r="F11" s="16">
        <f t="shared" si="2"/>
        <v>7.5146144837276552E-2</v>
      </c>
      <c r="G11" s="11">
        <f t="shared" si="3"/>
        <v>101.51271645492184</v>
      </c>
      <c r="H11" s="11">
        <f t="shared" si="4"/>
        <v>1.5127164549218435</v>
      </c>
      <c r="I11" s="11">
        <f t="shared" si="1"/>
        <v>101.12801299438728</v>
      </c>
      <c r="J11" s="11">
        <f t="shared" si="5"/>
        <v>1.1280129943872765</v>
      </c>
    </row>
    <row r="12" spans="2:10" x14ac:dyDescent="0.25">
      <c r="B12" s="3" t="s">
        <v>10</v>
      </c>
      <c r="C12" s="4">
        <v>1478667</v>
      </c>
      <c r="D12" s="4">
        <v>1407466</v>
      </c>
      <c r="E12" s="16">
        <f t="shared" si="0"/>
        <v>105.05880781489572</v>
      </c>
      <c r="F12" s="16">
        <f t="shared" si="2"/>
        <v>0.86584189614124796</v>
      </c>
      <c r="G12" s="11">
        <f t="shared" si="3"/>
        <v>100.39914081349765</v>
      </c>
      <c r="H12" s="11">
        <f t="shared" si="4"/>
        <v>0.3991408134976524</v>
      </c>
      <c r="I12" s="11">
        <f t="shared" si="1"/>
        <v>100.13015455987377</v>
      </c>
      <c r="J12" s="11">
        <f t="shared" si="5"/>
        <v>0.13015455987377322</v>
      </c>
    </row>
    <row r="13" spans="2:10" x14ac:dyDescent="0.25">
      <c r="B13" s="3" t="s">
        <v>11</v>
      </c>
      <c r="C13" s="4">
        <v>1457127</v>
      </c>
      <c r="D13" s="4">
        <v>1406076</v>
      </c>
      <c r="E13" s="16">
        <f t="shared" si="0"/>
        <v>103.6307425772149</v>
      </c>
      <c r="F13" s="16">
        <f t="shared" si="2"/>
        <v>1.4280652376808121</v>
      </c>
      <c r="G13" s="11">
        <f t="shared" si="3"/>
        <v>101.0857620938538</v>
      </c>
      <c r="H13" s="11">
        <f t="shared" si="4"/>
        <v>1.085762093853802</v>
      </c>
      <c r="I13" s="11">
        <f t="shared" si="1"/>
        <v>101.00159287998807</v>
      </c>
      <c r="J13" s="11">
        <f t="shared" si="5"/>
        <v>1.0015928799880669</v>
      </c>
    </row>
    <row r="14" spans="2:10" x14ac:dyDescent="0.25">
      <c r="B14" s="3" t="s">
        <v>12</v>
      </c>
      <c r="C14" s="4">
        <v>1404285</v>
      </c>
      <c r="D14" s="4">
        <v>1376799</v>
      </c>
      <c r="E14" s="16">
        <f t="shared" si="0"/>
        <v>101.9963698404778</v>
      </c>
      <c r="F14" s="16">
        <f t="shared" si="2"/>
        <v>1.6343727367371059</v>
      </c>
      <c r="G14" s="11">
        <f t="shared" si="3"/>
        <v>100.2631015279166</v>
      </c>
      <c r="H14" s="11">
        <f t="shared" si="4"/>
        <v>0.26310152791660357</v>
      </c>
      <c r="I14" s="11">
        <f t="shared" si="1"/>
        <v>99.814225639906581</v>
      </c>
      <c r="J14" s="11">
        <f t="shared" si="5"/>
        <v>-0.18577436009341852</v>
      </c>
    </row>
    <row r="15" spans="2:10" x14ac:dyDescent="0.25">
      <c r="B15" s="3" t="s">
        <v>13</v>
      </c>
      <c r="C15" s="4">
        <v>1344073</v>
      </c>
      <c r="D15" s="4">
        <v>1352647</v>
      </c>
      <c r="E15" s="16">
        <f t="shared" si="0"/>
        <v>99.366131740210122</v>
      </c>
      <c r="F15" s="16">
        <f t="shared" si="2"/>
        <v>2.6302381002676753</v>
      </c>
      <c r="G15" s="11">
        <f t="shared" si="3"/>
        <v>102.08212683850823</v>
      </c>
      <c r="H15" s="11">
        <f t="shared" si="4"/>
        <v>2.0821268385082305</v>
      </c>
      <c r="I15" s="11">
        <f t="shared" si="1"/>
        <v>102.56541104355883</v>
      </c>
      <c r="J15" s="11">
        <f t="shared" si="5"/>
        <v>2.5654110435588251</v>
      </c>
    </row>
    <row r="16" spans="2:10" x14ac:dyDescent="0.25">
      <c r="B16" s="3" t="s">
        <v>14</v>
      </c>
      <c r="C16" s="4">
        <v>1229032</v>
      </c>
      <c r="D16" s="4">
        <v>1260829</v>
      </c>
      <c r="E16" s="16">
        <f t="shared" si="0"/>
        <v>97.478087829515346</v>
      </c>
      <c r="F16" s="16">
        <f t="shared" si="2"/>
        <v>1.8880439106947762</v>
      </c>
      <c r="G16" s="11">
        <f t="shared" si="3"/>
        <v>100.53711105257732</v>
      </c>
      <c r="H16" s="11">
        <f t="shared" si="4"/>
        <v>0.53711105257731617</v>
      </c>
      <c r="I16" s="11">
        <f t="shared" si="1"/>
        <v>100.51215536934059</v>
      </c>
      <c r="J16" s="11">
        <f t="shared" si="5"/>
        <v>0.51215536934059003</v>
      </c>
    </row>
    <row r="17" spans="2:10" x14ac:dyDescent="0.25">
      <c r="B17" s="3" t="s">
        <v>15</v>
      </c>
      <c r="C17" s="4">
        <v>1100859</v>
      </c>
      <c r="D17" s="4">
        <v>1156162</v>
      </c>
      <c r="E17" s="16">
        <f t="shared" si="0"/>
        <v>95.216673787929381</v>
      </c>
      <c r="F17" s="16">
        <f t="shared" si="2"/>
        <v>2.2614140415859652</v>
      </c>
      <c r="G17" s="11">
        <f t="shared" si="3"/>
        <v>102.44684830899173</v>
      </c>
      <c r="H17" s="11">
        <f t="shared" si="4"/>
        <v>2.4468483089917328</v>
      </c>
      <c r="I17" s="11">
        <f t="shared" si="1"/>
        <v>102.98498821094</v>
      </c>
      <c r="J17" s="11">
        <f t="shared" si="5"/>
        <v>2.9849882109400028</v>
      </c>
    </row>
    <row r="18" spans="2:10" x14ac:dyDescent="0.25">
      <c r="B18" s="3" t="s">
        <v>16</v>
      </c>
      <c r="C18" s="4">
        <v>920100</v>
      </c>
      <c r="D18" s="4">
        <v>984473</v>
      </c>
      <c r="E18" s="16">
        <f t="shared" si="0"/>
        <v>93.461171611613523</v>
      </c>
      <c r="F18" s="16">
        <f t="shared" si="2"/>
        <v>1.7555021763158578</v>
      </c>
      <c r="G18" s="11">
        <f t="shared" si="3"/>
        <v>100.9653210842058</v>
      </c>
      <c r="H18" s="11">
        <f t="shared" si="4"/>
        <v>0.96532108420579732</v>
      </c>
      <c r="I18" s="11">
        <f t="shared" si="1"/>
        <v>101.72944804706654</v>
      </c>
      <c r="J18" s="11">
        <f t="shared" si="5"/>
        <v>1.7294480470665405</v>
      </c>
    </row>
    <row r="19" spans="2:10" x14ac:dyDescent="0.25">
      <c r="B19" s="3" t="s">
        <v>17</v>
      </c>
      <c r="C19" s="4">
        <v>721747</v>
      </c>
      <c r="D19" s="4">
        <v>779311</v>
      </c>
      <c r="E19" s="16">
        <f t="shared" si="0"/>
        <v>92.613475236458882</v>
      </c>
      <c r="F19" s="16">
        <f t="shared" si="2"/>
        <v>0.84769637515464069</v>
      </c>
      <c r="G19" s="11">
        <f t="shared" si="3"/>
        <v>101.61743814580315</v>
      </c>
      <c r="H19" s="11">
        <f t="shared" si="4"/>
        <v>1.617438145803149</v>
      </c>
      <c r="I19" s="11">
        <f t="shared" si="1"/>
        <v>101.02226399196293</v>
      </c>
      <c r="J19" s="11">
        <f t="shared" si="5"/>
        <v>1.0222639919629302</v>
      </c>
    </row>
    <row r="20" spans="2:10" x14ac:dyDescent="0.25">
      <c r="B20" s="3" t="s">
        <v>18</v>
      </c>
      <c r="C20" s="4">
        <v>500418</v>
      </c>
      <c r="D20" s="4">
        <v>558377</v>
      </c>
      <c r="E20" s="16">
        <f t="shared" si="0"/>
        <v>89.620095383584925</v>
      </c>
      <c r="F20" s="16">
        <f t="shared" si="2"/>
        <v>2.9933798528739572</v>
      </c>
      <c r="G20" s="11">
        <f t="shared" si="3"/>
        <v>85.365990962175218</v>
      </c>
      <c r="H20" s="11">
        <f t="shared" si="4"/>
        <v>-14.634009037824782</v>
      </c>
      <c r="I20" s="11">
        <f>(D20/((D19+D21)/2))*100</f>
        <v>81.726544364529445</v>
      </c>
      <c r="J20" s="11">
        <f t="shared" si="5"/>
        <v>-18.273455635470555</v>
      </c>
    </row>
    <row r="21" spans="2:10" x14ac:dyDescent="0.25">
      <c r="B21" s="12" t="s">
        <v>19</v>
      </c>
      <c r="C21" s="13">
        <v>450659</v>
      </c>
      <c r="D21" s="13">
        <v>587141</v>
      </c>
      <c r="E21" s="16">
        <f t="shared" si="0"/>
        <v>76.754816986039131</v>
      </c>
      <c r="F21" s="16">
        <f t="shared" si="2"/>
        <v>12.865278397545794</v>
      </c>
      <c r="G21" s="20"/>
      <c r="H21" s="20"/>
      <c r="I21" s="20"/>
      <c r="J21" s="20"/>
    </row>
    <row r="22" spans="2:10" x14ac:dyDescent="0.25">
      <c r="B22" s="7" t="s">
        <v>20</v>
      </c>
      <c r="C22" s="8">
        <f>SUM(C6:C21)</f>
        <v>19203434</v>
      </c>
      <c r="D22" s="8">
        <f>SUM(D6:D21)</f>
        <v>19030499</v>
      </c>
      <c r="E22" s="38"/>
      <c r="F22" s="39"/>
      <c r="G22" s="39"/>
      <c r="H22" s="39"/>
      <c r="I22" s="39"/>
      <c r="J22" s="40"/>
    </row>
    <row r="23" spans="2:10" x14ac:dyDescent="0.25">
      <c r="B23" s="42"/>
      <c r="C23" s="42"/>
      <c r="D23" s="42"/>
      <c r="E23" s="17" t="s">
        <v>33</v>
      </c>
      <c r="F23" s="18">
        <f>ABS(F7)+ABS(F8)+ABS(F9)+ABS(F10)+ABS(F11)+ABS(F12)+ABS(F13)+ABS(F14)+ABS(F15)+ABS(F16)+ABS(F17)+ABS(F18)+ABS(F19)+ABS(F20)+ABS(F21)</f>
        <v>31.592345697791188</v>
      </c>
      <c r="G23" s="43"/>
      <c r="H23" s="18">
        <f>ABS(H7)+ABS(H8)+ABS(H9)+ABS(H10)+ABS(H11)+ABS(H12)+ABS(H13)+ABS(H14)+ABS(H15)+ABS(H16)+ABS(H17)+ABS(H18)+ABS(H19)+ABS(H20)</f>
        <v>31.215154301123818</v>
      </c>
      <c r="I23" s="43"/>
      <c r="J23" s="18">
        <f>ABS(J7)+ABS(J8)+ABS(J9)+ABS(J10)+ABS(J11)+ABS(J12)+ABS(J13)+ABS(J14)+ABS(J15)+ABS(J16)+ABS(J17)+ABS(J18)+ABS(J19)+ABS(J20)</f>
        <v>33.977760387829633</v>
      </c>
    </row>
    <row r="24" spans="2:10" x14ac:dyDescent="0.25">
      <c r="B24" s="42"/>
      <c r="C24" s="42"/>
      <c r="D24" s="42"/>
      <c r="E24" s="17" t="s">
        <v>34</v>
      </c>
      <c r="F24" s="18">
        <f>F23/16</f>
        <v>1.9745216061119493</v>
      </c>
      <c r="G24" s="43"/>
      <c r="H24" s="18">
        <f>H23/16</f>
        <v>1.9509471438202386</v>
      </c>
      <c r="I24" s="43"/>
      <c r="J24" s="18">
        <f>J23/16</f>
        <v>2.1236100242393521</v>
      </c>
    </row>
    <row r="25" spans="2:10" ht="15.75" customHeight="1" x14ac:dyDescent="0.25">
      <c r="B25" s="36" t="s">
        <v>35</v>
      </c>
      <c r="C25" s="36"/>
      <c r="D25" s="36"/>
      <c r="E25" s="36"/>
      <c r="F25" s="37">
        <f>3*F24+H24+J24</f>
        <v>9.9981219863954394</v>
      </c>
      <c r="G25" s="37"/>
      <c r="H25" s="37"/>
      <c r="I25" s="37"/>
      <c r="J25" s="37"/>
    </row>
    <row r="26" spans="2:10" x14ac:dyDescent="0.25">
      <c r="B26" s="36"/>
      <c r="C26" s="36"/>
      <c r="D26" s="36"/>
      <c r="E26" s="36"/>
      <c r="F26" s="37"/>
      <c r="G26" s="37"/>
      <c r="H26" s="37"/>
      <c r="I26" s="37"/>
      <c r="J26" s="37"/>
    </row>
  </sheetData>
  <mergeCells count="14">
    <mergeCell ref="B1:J1"/>
    <mergeCell ref="B25:E26"/>
    <mergeCell ref="F25:J26"/>
    <mergeCell ref="E22:J22"/>
    <mergeCell ref="G3:H3"/>
    <mergeCell ref="G4:H4"/>
    <mergeCell ref="I3:J3"/>
    <mergeCell ref="I4:J4"/>
    <mergeCell ref="B23:D24"/>
    <mergeCell ref="G23:G24"/>
    <mergeCell ref="I23:I24"/>
    <mergeCell ref="B3:B5"/>
    <mergeCell ref="C3:D4"/>
    <mergeCell ref="E3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8"/>
  <sheetViews>
    <sheetView workbookViewId="0">
      <selection activeCell="C7" sqref="C7"/>
    </sheetView>
  </sheetViews>
  <sheetFormatPr defaultRowHeight="15.75" x14ac:dyDescent="0.25"/>
  <cols>
    <col min="1" max="1" width="9" style="10"/>
    <col min="2" max="2" width="19.875" style="10" customWidth="1"/>
    <col min="3" max="3" width="16.5" style="10" customWidth="1"/>
    <col min="4" max="4" width="15" style="10" customWidth="1"/>
    <col min="5" max="16384" width="9" style="10"/>
  </cols>
  <sheetData>
    <row r="1" spans="2:4" x14ac:dyDescent="0.25">
      <c r="B1" s="35" t="s">
        <v>40</v>
      </c>
      <c r="C1" s="35"/>
      <c r="D1" s="35"/>
    </row>
    <row r="3" spans="2:4" x14ac:dyDescent="0.25">
      <c r="B3" s="41">
        <v>2025</v>
      </c>
      <c r="C3" s="41"/>
      <c r="D3" s="41"/>
    </row>
    <row r="4" spans="2:4" x14ac:dyDescent="0.25">
      <c r="B4" s="17" t="s">
        <v>0</v>
      </c>
      <c r="C4" s="17" t="s">
        <v>3</v>
      </c>
      <c r="D4" s="17" t="s">
        <v>39</v>
      </c>
    </row>
    <row r="5" spans="2:4" x14ac:dyDescent="0.25">
      <c r="B5" s="15" t="s">
        <v>37</v>
      </c>
      <c r="C5" s="21">
        <f>SUM(Perhitungan!C6:D8)</f>
        <v>8254886</v>
      </c>
      <c r="D5" s="23">
        <f>C5/$C$8</f>
        <v>0.21590470433685177</v>
      </c>
    </row>
    <row r="6" spans="2:4" x14ac:dyDescent="0.25">
      <c r="B6" s="15" t="s">
        <v>38</v>
      </c>
      <c r="C6" s="21">
        <f>SUM(Perhitungan!C9:D18)</f>
        <v>26381394</v>
      </c>
      <c r="D6" s="23">
        <f t="shared" ref="D6:D7" si="0">C6/$C$8</f>
        <v>0.68999948292005431</v>
      </c>
    </row>
    <row r="7" spans="2:4" x14ac:dyDescent="0.25">
      <c r="B7" s="15" t="s">
        <v>22</v>
      </c>
      <c r="C7" s="21">
        <f>SUM(Perhitungan!C19:D21)</f>
        <v>3597653</v>
      </c>
      <c r="D7" s="23">
        <f t="shared" si="0"/>
        <v>9.4095812743093948E-2</v>
      </c>
    </row>
    <row r="8" spans="2:4" x14ac:dyDescent="0.25">
      <c r="B8" s="17" t="s">
        <v>3</v>
      </c>
      <c r="C8" s="22">
        <f>SUM(C5:C7)</f>
        <v>38233933</v>
      </c>
      <c r="D8" s="24">
        <f>SUM(D5:D7)</f>
        <v>1</v>
      </c>
    </row>
  </sheetData>
  <mergeCells count="2">
    <mergeCell ref="B3:D3"/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zoomScale="60" zoomScaleNormal="60" workbookViewId="0">
      <selection activeCell="P39" sqref="P39"/>
    </sheetView>
  </sheetViews>
  <sheetFormatPr defaultRowHeight="15" x14ac:dyDescent="0.25"/>
  <cols>
    <col min="2" max="2" width="16.625" bestFit="1" customWidth="1"/>
    <col min="3" max="3" width="15.125" bestFit="1" customWidth="1"/>
    <col min="4" max="4" width="16.125" bestFit="1" customWidth="1"/>
    <col min="5" max="5" width="44" bestFit="1" customWidth="1"/>
    <col min="6" max="6" width="16.625" bestFit="1" customWidth="1"/>
    <col min="7" max="7" width="15.125" bestFit="1" customWidth="1"/>
    <col min="8" max="8" width="16.125" bestFit="1" customWidth="1"/>
  </cols>
  <sheetData>
    <row r="2" spans="2:8" ht="15.75" customHeight="1" x14ac:dyDescent="0.25">
      <c r="B2" s="29" t="s">
        <v>0</v>
      </c>
      <c r="C2" s="9" t="s">
        <v>25</v>
      </c>
      <c r="D2" s="9" t="s">
        <v>26</v>
      </c>
      <c r="F2" s="29" t="s">
        <v>0</v>
      </c>
      <c r="G2" s="9" t="s">
        <v>25</v>
      </c>
      <c r="H2" s="9" t="s">
        <v>26</v>
      </c>
    </row>
    <row r="3" spans="2:8" ht="15.75" x14ac:dyDescent="0.25">
      <c r="B3" s="3" t="s">
        <v>4</v>
      </c>
      <c r="C3" s="4">
        <v>1453486</v>
      </c>
      <c r="D3" s="4">
        <v>1395492</v>
      </c>
      <c r="F3" s="3" t="s">
        <v>4</v>
      </c>
      <c r="G3" s="31">
        <f>-C3</f>
        <v>-1453486</v>
      </c>
      <c r="H3" s="30">
        <v>1395492</v>
      </c>
    </row>
    <row r="4" spans="2:8" ht="15.75" x14ac:dyDescent="0.25">
      <c r="B4" s="3" t="s">
        <v>5</v>
      </c>
      <c r="C4" s="5">
        <v>1378005</v>
      </c>
      <c r="D4" s="4">
        <v>1314670</v>
      </c>
      <c r="F4" s="3" t="s">
        <v>5</v>
      </c>
      <c r="G4" s="31">
        <f t="shared" ref="G4:G18" si="0">-C4</f>
        <v>-1378005</v>
      </c>
      <c r="H4" s="30">
        <v>1314670</v>
      </c>
    </row>
    <row r="5" spans="2:8" ht="15.75" x14ac:dyDescent="0.25">
      <c r="B5" s="3" t="s">
        <v>6</v>
      </c>
      <c r="C5" s="4">
        <v>1388617</v>
      </c>
      <c r="D5" s="4">
        <v>1324616</v>
      </c>
      <c r="F5" s="3" t="s">
        <v>6</v>
      </c>
      <c r="G5" s="31">
        <f t="shared" si="0"/>
        <v>-1388617</v>
      </c>
      <c r="H5" s="30">
        <v>1324616</v>
      </c>
    </row>
    <row r="6" spans="2:8" ht="15.75" x14ac:dyDescent="0.25">
      <c r="B6" s="3" t="s">
        <v>7</v>
      </c>
      <c r="C6" s="4">
        <v>1434037</v>
      </c>
      <c r="D6" s="4">
        <v>1349663</v>
      </c>
      <c r="F6" s="3" t="s">
        <v>7</v>
      </c>
      <c r="G6" s="31">
        <f t="shared" si="0"/>
        <v>-1434037</v>
      </c>
      <c r="H6" s="30">
        <v>1349663</v>
      </c>
    </row>
    <row r="7" spans="2:8" ht="15.75" x14ac:dyDescent="0.25">
      <c r="B7" s="3" t="s">
        <v>8</v>
      </c>
      <c r="C7" s="4">
        <v>1453872</v>
      </c>
      <c r="D7" s="4">
        <v>1371580</v>
      </c>
      <c r="F7" s="3" t="s">
        <v>8</v>
      </c>
      <c r="G7" s="31">
        <f t="shared" si="0"/>
        <v>-1453872</v>
      </c>
      <c r="H7" s="30">
        <v>1371580</v>
      </c>
    </row>
    <row r="8" spans="2:8" ht="15.75" x14ac:dyDescent="0.25">
      <c r="B8" s="3" t="s">
        <v>9</v>
      </c>
      <c r="C8" s="4">
        <v>1488450</v>
      </c>
      <c r="D8" s="4">
        <v>1405197</v>
      </c>
      <c r="F8" s="3" t="s">
        <v>9</v>
      </c>
      <c r="G8" s="31">
        <f t="shared" si="0"/>
        <v>-1488450</v>
      </c>
      <c r="H8" s="30">
        <v>1405197</v>
      </c>
    </row>
    <row r="9" spans="2:8" ht="15.75" x14ac:dyDescent="0.25">
      <c r="B9" s="3" t="s">
        <v>10</v>
      </c>
      <c r="C9" s="4">
        <v>1478667</v>
      </c>
      <c r="D9" s="4">
        <v>1407466</v>
      </c>
      <c r="F9" s="3" t="s">
        <v>10</v>
      </c>
      <c r="G9" s="31">
        <f t="shared" si="0"/>
        <v>-1478667</v>
      </c>
      <c r="H9" s="30">
        <v>1407466</v>
      </c>
    </row>
    <row r="10" spans="2:8" ht="15.75" x14ac:dyDescent="0.25">
      <c r="B10" s="3" t="s">
        <v>11</v>
      </c>
      <c r="C10" s="4">
        <v>1457127</v>
      </c>
      <c r="D10" s="4">
        <v>1406076</v>
      </c>
      <c r="F10" s="3" t="s">
        <v>11</v>
      </c>
      <c r="G10" s="31">
        <f t="shared" si="0"/>
        <v>-1457127</v>
      </c>
      <c r="H10" s="30">
        <v>1406076</v>
      </c>
    </row>
    <row r="11" spans="2:8" ht="15.75" x14ac:dyDescent="0.25">
      <c r="B11" s="3" t="s">
        <v>12</v>
      </c>
      <c r="C11" s="4">
        <v>1404285</v>
      </c>
      <c r="D11" s="4">
        <v>1376799</v>
      </c>
      <c r="F11" s="3" t="s">
        <v>12</v>
      </c>
      <c r="G11" s="31">
        <f t="shared" si="0"/>
        <v>-1404285</v>
      </c>
      <c r="H11" s="30">
        <v>1376799</v>
      </c>
    </row>
    <row r="12" spans="2:8" ht="15.75" x14ac:dyDescent="0.25">
      <c r="B12" s="3" t="s">
        <v>13</v>
      </c>
      <c r="C12" s="4">
        <v>1344073</v>
      </c>
      <c r="D12" s="4">
        <v>1352647</v>
      </c>
      <c r="F12" s="3" t="s">
        <v>13</v>
      </c>
      <c r="G12" s="31">
        <f t="shared" si="0"/>
        <v>-1344073</v>
      </c>
      <c r="H12" s="30">
        <v>1352647</v>
      </c>
    </row>
    <row r="13" spans="2:8" ht="15.75" x14ac:dyDescent="0.25">
      <c r="B13" s="3" t="s">
        <v>14</v>
      </c>
      <c r="C13" s="4">
        <v>1229032</v>
      </c>
      <c r="D13" s="4">
        <v>1260829</v>
      </c>
      <c r="F13" s="3" t="s">
        <v>14</v>
      </c>
      <c r="G13" s="31">
        <f t="shared" si="0"/>
        <v>-1229032</v>
      </c>
      <c r="H13" s="30">
        <v>1260829</v>
      </c>
    </row>
    <row r="14" spans="2:8" ht="15.75" x14ac:dyDescent="0.25">
      <c r="B14" s="3" t="s">
        <v>15</v>
      </c>
      <c r="C14" s="4">
        <v>1100859</v>
      </c>
      <c r="D14" s="4">
        <v>1156162</v>
      </c>
      <c r="F14" s="3" t="s">
        <v>15</v>
      </c>
      <c r="G14" s="31">
        <f t="shared" si="0"/>
        <v>-1100859</v>
      </c>
      <c r="H14" s="30">
        <v>1156162</v>
      </c>
    </row>
    <row r="15" spans="2:8" ht="15.75" x14ac:dyDescent="0.25">
      <c r="B15" s="3" t="s">
        <v>16</v>
      </c>
      <c r="C15" s="4">
        <v>920100</v>
      </c>
      <c r="D15" s="4">
        <v>984473</v>
      </c>
      <c r="F15" s="3" t="s">
        <v>16</v>
      </c>
      <c r="G15" s="31">
        <f t="shared" si="0"/>
        <v>-920100</v>
      </c>
      <c r="H15" s="30">
        <v>984473</v>
      </c>
    </row>
    <row r="16" spans="2:8" ht="15.75" x14ac:dyDescent="0.25">
      <c r="B16" s="3" t="s">
        <v>17</v>
      </c>
      <c r="C16" s="4">
        <v>721747</v>
      </c>
      <c r="D16" s="4">
        <v>779311</v>
      </c>
      <c r="F16" s="3" t="s">
        <v>17</v>
      </c>
      <c r="G16" s="31">
        <f t="shared" si="0"/>
        <v>-721747</v>
      </c>
      <c r="H16" s="30">
        <v>779311</v>
      </c>
    </row>
    <row r="17" spans="2:8" ht="15.75" x14ac:dyDescent="0.25">
      <c r="B17" s="3" t="s">
        <v>18</v>
      </c>
      <c r="C17" s="4">
        <v>500418</v>
      </c>
      <c r="D17" s="4">
        <v>558377</v>
      </c>
      <c r="F17" s="3" t="s">
        <v>18</v>
      </c>
      <c r="G17" s="31">
        <f t="shared" si="0"/>
        <v>-500418</v>
      </c>
      <c r="H17" s="30">
        <v>558377</v>
      </c>
    </row>
    <row r="18" spans="2:8" ht="15.75" x14ac:dyDescent="0.25">
      <c r="B18" s="6" t="s">
        <v>19</v>
      </c>
      <c r="C18" s="4">
        <v>450659</v>
      </c>
      <c r="D18" s="4">
        <v>587141</v>
      </c>
      <c r="F18" s="6" t="s">
        <v>19</v>
      </c>
      <c r="G18" s="31">
        <f t="shared" si="0"/>
        <v>-450659</v>
      </c>
      <c r="H18" s="30">
        <v>587141</v>
      </c>
    </row>
    <row r="19" spans="2:8" ht="15.75" x14ac:dyDescent="0.25">
      <c r="B19" s="7" t="s">
        <v>20</v>
      </c>
      <c r="C19" s="8">
        <f>SUM(C3:C18)</f>
        <v>19203434</v>
      </c>
      <c r="D19" s="8">
        <f>SUM(D3:D18)</f>
        <v>19030499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tabSelected="1" workbookViewId="0">
      <selection activeCell="E4" sqref="E4:E22"/>
    </sheetView>
  </sheetViews>
  <sheetFormatPr defaultRowHeight="15.75" x14ac:dyDescent="0.25"/>
  <cols>
    <col min="1" max="1" width="9" style="10"/>
    <col min="2" max="2" width="14.75" style="10" bestFit="1" customWidth="1"/>
    <col min="3" max="3" width="15.125" style="10" bestFit="1" customWidth="1"/>
    <col min="4" max="4" width="16.125" style="10" bestFit="1" customWidth="1"/>
    <col min="5" max="5" width="44" style="10" bestFit="1" customWidth="1"/>
    <col min="6" max="6" width="20" style="10" bestFit="1" customWidth="1"/>
    <col min="7" max="16384" width="9" style="10"/>
  </cols>
  <sheetData>
    <row r="2" spans="2:6" x14ac:dyDescent="0.25">
      <c r="B2" s="35" t="s">
        <v>42</v>
      </c>
      <c r="C2" s="35"/>
      <c r="D2" s="35"/>
      <c r="E2" s="35"/>
      <c r="F2" s="35"/>
    </row>
    <row r="4" spans="2:6" x14ac:dyDescent="0.25">
      <c r="B4" s="34" t="s">
        <v>0</v>
      </c>
      <c r="C4" s="34" t="s">
        <v>21</v>
      </c>
      <c r="D4" s="34"/>
      <c r="E4" s="33" t="s">
        <v>24</v>
      </c>
      <c r="F4" s="41" t="s">
        <v>41</v>
      </c>
    </row>
    <row r="5" spans="2:6" x14ac:dyDescent="0.25">
      <c r="B5" s="34"/>
      <c r="C5" s="9" t="s">
        <v>25</v>
      </c>
      <c r="D5" s="9" t="s">
        <v>26</v>
      </c>
      <c r="E5" s="33"/>
      <c r="F5" s="41"/>
    </row>
    <row r="6" spans="2:6" x14ac:dyDescent="0.25">
      <c r="B6" s="3" t="s">
        <v>4</v>
      </c>
      <c r="C6" s="4">
        <v>1453486</v>
      </c>
      <c r="D6" s="4">
        <v>1395492</v>
      </c>
      <c r="E6" s="4">
        <f>SUM(C6:D6)</f>
        <v>2848978</v>
      </c>
      <c r="F6" s="51">
        <f>SUM(E6:E8)</f>
        <v>8254886</v>
      </c>
    </row>
    <row r="7" spans="2:6" x14ac:dyDescent="0.25">
      <c r="B7" s="3" t="s">
        <v>5</v>
      </c>
      <c r="C7" s="5">
        <v>1378005</v>
      </c>
      <c r="D7" s="4">
        <v>1314670</v>
      </c>
      <c r="E7" s="4">
        <f t="shared" ref="E7:E22" si="0">SUM(C7:D7)</f>
        <v>2692675</v>
      </c>
      <c r="F7" s="52"/>
    </row>
    <row r="8" spans="2:6" x14ac:dyDescent="0.25">
      <c r="B8" s="3" t="s">
        <v>6</v>
      </c>
      <c r="C8" s="4">
        <v>1388617</v>
      </c>
      <c r="D8" s="4">
        <v>1324616</v>
      </c>
      <c r="E8" s="4">
        <f t="shared" si="0"/>
        <v>2713233</v>
      </c>
      <c r="F8" s="52"/>
    </row>
    <row r="9" spans="2:6" x14ac:dyDescent="0.25">
      <c r="B9" s="3" t="s">
        <v>7</v>
      </c>
      <c r="C9" s="4">
        <v>1434037</v>
      </c>
      <c r="D9" s="4">
        <v>1349663</v>
      </c>
      <c r="E9" s="4">
        <f t="shared" si="0"/>
        <v>2783700</v>
      </c>
      <c r="F9" s="51">
        <f>SUM(E9:E20)</f>
        <v>28941247</v>
      </c>
    </row>
    <row r="10" spans="2:6" x14ac:dyDescent="0.25">
      <c r="B10" s="3" t="s">
        <v>8</v>
      </c>
      <c r="C10" s="4">
        <v>1453872</v>
      </c>
      <c r="D10" s="4">
        <v>1371580</v>
      </c>
      <c r="E10" s="4">
        <f t="shared" si="0"/>
        <v>2825452</v>
      </c>
      <c r="F10" s="52"/>
    </row>
    <row r="11" spans="2:6" x14ac:dyDescent="0.25">
      <c r="B11" s="3" t="s">
        <v>9</v>
      </c>
      <c r="C11" s="4">
        <v>1488450</v>
      </c>
      <c r="D11" s="4">
        <v>1405197</v>
      </c>
      <c r="E11" s="4">
        <f t="shared" si="0"/>
        <v>2893647</v>
      </c>
      <c r="F11" s="52"/>
    </row>
    <row r="12" spans="2:6" x14ac:dyDescent="0.25">
      <c r="B12" s="3" t="s">
        <v>10</v>
      </c>
      <c r="C12" s="4">
        <v>1478667</v>
      </c>
      <c r="D12" s="4">
        <v>1407466</v>
      </c>
      <c r="E12" s="4">
        <f t="shared" si="0"/>
        <v>2886133</v>
      </c>
      <c r="F12" s="52"/>
    </row>
    <row r="13" spans="2:6" x14ac:dyDescent="0.25">
      <c r="B13" s="3" t="s">
        <v>11</v>
      </c>
      <c r="C13" s="4">
        <v>1457127</v>
      </c>
      <c r="D13" s="4">
        <v>1406076</v>
      </c>
      <c r="E13" s="4">
        <f t="shared" si="0"/>
        <v>2863203</v>
      </c>
      <c r="F13" s="52"/>
    </row>
    <row r="14" spans="2:6" x14ac:dyDescent="0.25">
      <c r="B14" s="3" t="s">
        <v>12</v>
      </c>
      <c r="C14" s="4">
        <v>1404285</v>
      </c>
      <c r="D14" s="4">
        <v>1376799</v>
      </c>
      <c r="E14" s="4">
        <f t="shared" si="0"/>
        <v>2781084</v>
      </c>
      <c r="F14" s="52"/>
    </row>
    <row r="15" spans="2:6" x14ac:dyDescent="0.25">
      <c r="B15" s="3" t="s">
        <v>13</v>
      </c>
      <c r="C15" s="4">
        <v>1344073</v>
      </c>
      <c r="D15" s="4">
        <v>1352647</v>
      </c>
      <c r="E15" s="4">
        <f t="shared" si="0"/>
        <v>2696720</v>
      </c>
      <c r="F15" s="52"/>
    </row>
    <row r="16" spans="2:6" x14ac:dyDescent="0.25">
      <c r="B16" s="3" t="s">
        <v>14</v>
      </c>
      <c r="C16" s="4">
        <v>1229032</v>
      </c>
      <c r="D16" s="4">
        <v>1260829</v>
      </c>
      <c r="E16" s="4">
        <f t="shared" si="0"/>
        <v>2489861</v>
      </c>
      <c r="F16" s="52"/>
    </row>
    <row r="17" spans="2:6" x14ac:dyDescent="0.25">
      <c r="B17" s="3" t="s">
        <v>15</v>
      </c>
      <c r="C17" s="4">
        <v>1100859</v>
      </c>
      <c r="D17" s="4">
        <v>1156162</v>
      </c>
      <c r="E17" s="4">
        <f t="shared" si="0"/>
        <v>2257021</v>
      </c>
      <c r="F17" s="52"/>
    </row>
    <row r="18" spans="2:6" x14ac:dyDescent="0.25">
      <c r="B18" s="3" t="s">
        <v>16</v>
      </c>
      <c r="C18" s="4">
        <v>920100</v>
      </c>
      <c r="D18" s="4">
        <v>984473</v>
      </c>
      <c r="E18" s="4">
        <f t="shared" si="0"/>
        <v>1904573</v>
      </c>
      <c r="F18" s="52"/>
    </row>
    <row r="19" spans="2:6" x14ac:dyDescent="0.25">
      <c r="B19" s="3" t="s">
        <v>17</v>
      </c>
      <c r="C19" s="4">
        <v>721747</v>
      </c>
      <c r="D19" s="4">
        <v>779311</v>
      </c>
      <c r="E19" s="4">
        <f t="shared" si="0"/>
        <v>1501058</v>
      </c>
      <c r="F19" s="52"/>
    </row>
    <row r="20" spans="2:6" x14ac:dyDescent="0.25">
      <c r="B20" s="3" t="s">
        <v>18</v>
      </c>
      <c r="C20" s="4">
        <v>500418</v>
      </c>
      <c r="D20" s="4">
        <v>558377</v>
      </c>
      <c r="E20" s="4">
        <f t="shared" si="0"/>
        <v>1058795</v>
      </c>
      <c r="F20" s="52"/>
    </row>
    <row r="21" spans="2:6" x14ac:dyDescent="0.25">
      <c r="B21" s="6" t="s">
        <v>19</v>
      </c>
      <c r="C21" s="4">
        <v>450659</v>
      </c>
      <c r="D21" s="4">
        <v>587141</v>
      </c>
      <c r="E21" s="4">
        <f t="shared" si="0"/>
        <v>1037800</v>
      </c>
      <c r="F21" s="5">
        <f>SUM(E21)</f>
        <v>1037800</v>
      </c>
    </row>
    <row r="22" spans="2:6" x14ac:dyDescent="0.25">
      <c r="B22" s="7" t="s">
        <v>20</v>
      </c>
      <c r="C22" s="8">
        <f>SUM(C6:C21)</f>
        <v>19203434</v>
      </c>
      <c r="D22" s="8">
        <f>SUM(D6:D21)</f>
        <v>19030499</v>
      </c>
      <c r="E22" s="8">
        <f t="shared" si="0"/>
        <v>38233933</v>
      </c>
      <c r="F22" s="25">
        <f>((F6+F21)/F9)*100</f>
        <v>32.108796141368749</v>
      </c>
    </row>
  </sheetData>
  <mergeCells count="7">
    <mergeCell ref="F4:F5"/>
    <mergeCell ref="F6:F8"/>
    <mergeCell ref="F9:F20"/>
    <mergeCell ref="B2:F2"/>
    <mergeCell ref="B4:B5"/>
    <mergeCell ref="C4:D4"/>
    <mergeCell ref="E4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topLeftCell="A8" zoomScale="70" zoomScaleNormal="70" workbookViewId="0">
      <selection activeCell="B14" sqref="B14"/>
    </sheetView>
  </sheetViews>
  <sheetFormatPr defaultRowHeight="15.75" x14ac:dyDescent="0.25"/>
  <cols>
    <col min="1" max="1" width="9" style="10"/>
    <col min="2" max="2" width="14.75" style="10" bestFit="1" customWidth="1"/>
    <col min="3" max="3" width="15.125" style="10" bestFit="1" customWidth="1"/>
    <col min="4" max="4" width="16.125" style="10" bestFit="1" customWidth="1"/>
    <col min="5" max="5" width="44" style="10" bestFit="1" customWidth="1"/>
    <col min="6" max="6" width="9.875" style="10" bestFit="1" customWidth="1"/>
    <col min="7" max="16384" width="9" style="10"/>
  </cols>
  <sheetData>
    <row r="2" spans="2:8" x14ac:dyDescent="0.25">
      <c r="B2" s="34" t="s">
        <v>0</v>
      </c>
      <c r="C2" s="34" t="s">
        <v>21</v>
      </c>
      <c r="D2" s="34"/>
      <c r="E2" s="33" t="s">
        <v>24</v>
      </c>
      <c r="F2" s="41" t="s">
        <v>43</v>
      </c>
    </row>
    <row r="3" spans="2:8" x14ac:dyDescent="0.25">
      <c r="B3" s="34"/>
      <c r="C3" s="9" t="s">
        <v>25</v>
      </c>
      <c r="D3" s="9" t="s">
        <v>26</v>
      </c>
      <c r="E3" s="33"/>
      <c r="F3" s="41"/>
    </row>
    <row r="4" spans="2:8" x14ac:dyDescent="0.25">
      <c r="B4" s="3" t="s">
        <v>4</v>
      </c>
      <c r="C4" s="4">
        <v>1453486</v>
      </c>
      <c r="D4" s="4">
        <v>1395492</v>
      </c>
      <c r="E4" s="4">
        <f>SUM(C4:D4)</f>
        <v>2848978</v>
      </c>
      <c r="F4" s="32">
        <f>(C4/D4)*100</f>
        <v>104.1558102805319</v>
      </c>
      <c r="H4" s="10" t="s">
        <v>47</v>
      </c>
    </row>
    <row r="5" spans="2:8" x14ac:dyDescent="0.25">
      <c r="B5" s="3" t="s">
        <v>5</v>
      </c>
      <c r="C5" s="5">
        <v>1378005</v>
      </c>
      <c r="D5" s="4">
        <v>1314670</v>
      </c>
      <c r="E5" s="4">
        <f t="shared" ref="E5:E20" si="0">SUM(C5:D5)</f>
        <v>2692675</v>
      </c>
      <c r="F5" s="32">
        <f t="shared" ref="F5:F19" si="1">(C5/D5)*100</f>
        <v>104.81755877900918</v>
      </c>
    </row>
    <row r="6" spans="2:8" x14ac:dyDescent="0.25">
      <c r="B6" s="3" t="s">
        <v>6</v>
      </c>
      <c r="C6" s="4">
        <v>1388617</v>
      </c>
      <c r="D6" s="4">
        <v>1324616</v>
      </c>
      <c r="E6" s="4">
        <f t="shared" si="0"/>
        <v>2713233</v>
      </c>
      <c r="F6" s="32">
        <f t="shared" si="1"/>
        <v>104.83166442199096</v>
      </c>
    </row>
    <row r="7" spans="2:8" x14ac:dyDescent="0.25">
      <c r="B7" s="3" t="s">
        <v>7</v>
      </c>
      <c r="C7" s="4">
        <v>1434037</v>
      </c>
      <c r="D7" s="4">
        <v>1349663</v>
      </c>
      <c r="E7" s="4">
        <f t="shared" si="0"/>
        <v>2783700</v>
      </c>
      <c r="F7" s="32">
        <f t="shared" si="1"/>
        <v>106.25148648218111</v>
      </c>
    </row>
    <row r="8" spans="2:8" x14ac:dyDescent="0.25">
      <c r="B8" s="3" t="s">
        <v>8</v>
      </c>
      <c r="C8" s="4">
        <v>1453872</v>
      </c>
      <c r="D8" s="4">
        <v>1371580</v>
      </c>
      <c r="E8" s="4">
        <f t="shared" si="0"/>
        <v>2825452</v>
      </c>
      <c r="F8" s="32">
        <f t="shared" si="1"/>
        <v>105.99979585587424</v>
      </c>
    </row>
    <row r="9" spans="2:8" x14ac:dyDescent="0.25">
      <c r="B9" s="3" t="s">
        <v>9</v>
      </c>
      <c r="C9" s="4">
        <v>1488450</v>
      </c>
      <c r="D9" s="4">
        <v>1405197</v>
      </c>
      <c r="E9" s="4">
        <f t="shared" si="0"/>
        <v>2893647</v>
      </c>
      <c r="F9" s="32">
        <f t="shared" si="1"/>
        <v>105.92464971103696</v>
      </c>
    </row>
    <row r="10" spans="2:8" x14ac:dyDescent="0.25">
      <c r="B10" s="3" t="s">
        <v>10</v>
      </c>
      <c r="C10" s="4">
        <v>1478667</v>
      </c>
      <c r="D10" s="4">
        <v>1407466</v>
      </c>
      <c r="E10" s="4">
        <f t="shared" si="0"/>
        <v>2886133</v>
      </c>
      <c r="F10" s="32">
        <f t="shared" si="1"/>
        <v>105.05880781489572</v>
      </c>
    </row>
    <row r="11" spans="2:8" x14ac:dyDescent="0.25">
      <c r="B11" s="3" t="s">
        <v>11</v>
      </c>
      <c r="C11" s="4">
        <v>1457127</v>
      </c>
      <c r="D11" s="4">
        <v>1406076</v>
      </c>
      <c r="E11" s="4">
        <f t="shared" si="0"/>
        <v>2863203</v>
      </c>
      <c r="F11" s="32">
        <f t="shared" si="1"/>
        <v>103.6307425772149</v>
      </c>
    </row>
    <row r="12" spans="2:8" x14ac:dyDescent="0.25">
      <c r="B12" s="3" t="s">
        <v>12</v>
      </c>
      <c r="C12" s="4">
        <v>1404285</v>
      </c>
      <c r="D12" s="4">
        <v>1376799</v>
      </c>
      <c r="E12" s="4">
        <f t="shared" si="0"/>
        <v>2781084</v>
      </c>
      <c r="F12" s="32">
        <f t="shared" si="1"/>
        <v>101.9963698404778</v>
      </c>
    </row>
    <row r="13" spans="2:8" x14ac:dyDescent="0.25">
      <c r="B13" s="3" t="s">
        <v>13</v>
      </c>
      <c r="C13" s="4">
        <v>1344073</v>
      </c>
      <c r="D13" s="4">
        <v>1352647</v>
      </c>
      <c r="E13" s="4">
        <f t="shared" si="0"/>
        <v>2696720</v>
      </c>
      <c r="F13" s="32">
        <f t="shared" si="1"/>
        <v>99.366131740210122</v>
      </c>
    </row>
    <row r="14" spans="2:8" x14ac:dyDescent="0.25">
      <c r="B14" s="3" t="s">
        <v>14</v>
      </c>
      <c r="C14" s="4">
        <v>1229032</v>
      </c>
      <c r="D14" s="4">
        <v>1260829</v>
      </c>
      <c r="E14" s="4">
        <f t="shared" si="0"/>
        <v>2489861</v>
      </c>
      <c r="F14" s="32">
        <f t="shared" si="1"/>
        <v>97.478087829515346</v>
      </c>
    </row>
    <row r="15" spans="2:8" x14ac:dyDescent="0.25">
      <c r="B15" s="3" t="s">
        <v>15</v>
      </c>
      <c r="C15" s="4">
        <v>1100859</v>
      </c>
      <c r="D15" s="4">
        <v>1156162</v>
      </c>
      <c r="E15" s="4">
        <f t="shared" si="0"/>
        <v>2257021</v>
      </c>
      <c r="F15" s="32">
        <f t="shared" si="1"/>
        <v>95.216673787929381</v>
      </c>
    </row>
    <row r="16" spans="2:8" x14ac:dyDescent="0.25">
      <c r="B16" s="3" t="s">
        <v>16</v>
      </c>
      <c r="C16" s="4">
        <v>920100</v>
      </c>
      <c r="D16" s="4">
        <v>984473</v>
      </c>
      <c r="E16" s="4">
        <f t="shared" si="0"/>
        <v>1904573</v>
      </c>
      <c r="F16" s="32">
        <f t="shared" si="1"/>
        <v>93.461171611613523</v>
      </c>
    </row>
    <row r="17" spans="2:6" x14ac:dyDescent="0.25">
      <c r="B17" s="3" t="s">
        <v>17</v>
      </c>
      <c r="C17" s="4">
        <v>721747</v>
      </c>
      <c r="D17" s="4">
        <v>779311</v>
      </c>
      <c r="E17" s="4">
        <f t="shared" si="0"/>
        <v>1501058</v>
      </c>
      <c r="F17" s="32">
        <f t="shared" si="1"/>
        <v>92.613475236458882</v>
      </c>
    </row>
    <row r="18" spans="2:6" x14ac:dyDescent="0.25">
      <c r="B18" s="3" t="s">
        <v>18</v>
      </c>
      <c r="C18" s="4">
        <v>500418</v>
      </c>
      <c r="D18" s="4">
        <v>558377</v>
      </c>
      <c r="E18" s="4">
        <f t="shared" si="0"/>
        <v>1058795</v>
      </c>
      <c r="F18" s="32">
        <f t="shared" si="1"/>
        <v>89.620095383584925</v>
      </c>
    </row>
    <row r="19" spans="2:6" x14ac:dyDescent="0.25">
      <c r="B19" s="6" t="s">
        <v>19</v>
      </c>
      <c r="C19" s="4">
        <v>450659</v>
      </c>
      <c r="D19" s="4">
        <v>587141</v>
      </c>
      <c r="E19" s="4">
        <f t="shared" si="0"/>
        <v>1037800</v>
      </c>
      <c r="F19" s="32">
        <f t="shared" si="1"/>
        <v>76.754816986039131</v>
      </c>
    </row>
    <row r="20" spans="2:6" x14ac:dyDescent="0.25">
      <c r="B20" s="7" t="s">
        <v>20</v>
      </c>
      <c r="C20" s="8">
        <f>SUM(C4:C19)</f>
        <v>19203434</v>
      </c>
      <c r="D20" s="8">
        <f>SUM(D4:D19)</f>
        <v>19030499</v>
      </c>
      <c r="E20" s="8">
        <f t="shared" si="0"/>
        <v>38233933</v>
      </c>
      <c r="F20" s="8">
        <f>SUM(F4:F19)</f>
        <v>1587.1773383385639</v>
      </c>
    </row>
    <row r="23" spans="2:6" x14ac:dyDescent="0.25">
      <c r="B23" s="10" t="s">
        <v>43</v>
      </c>
      <c r="C23" s="27">
        <f>(C20/D20)*100</f>
        <v>100.90872551476448</v>
      </c>
    </row>
  </sheetData>
  <mergeCells count="4">
    <mergeCell ref="B2:B3"/>
    <mergeCell ref="C2:D2"/>
    <mergeCell ref="E2:E3"/>
    <mergeCell ref="F2:F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zoomScale="60" zoomScaleNormal="60" workbookViewId="0">
      <selection activeCell="B2" sqref="B2:E20"/>
    </sheetView>
  </sheetViews>
  <sheetFormatPr defaultRowHeight="15.75" x14ac:dyDescent="0.25"/>
  <cols>
    <col min="1" max="1" width="9" style="10"/>
    <col min="2" max="2" width="38" style="10" bestFit="1" customWidth="1"/>
    <col min="3" max="3" width="15.125" style="10" bestFit="1" customWidth="1"/>
    <col min="4" max="4" width="16.125" style="10" bestFit="1" customWidth="1"/>
    <col min="5" max="5" width="50.125" style="10" bestFit="1" customWidth="1"/>
    <col min="6" max="16384" width="9" style="10"/>
  </cols>
  <sheetData>
    <row r="2" spans="2:5" x14ac:dyDescent="0.25">
      <c r="B2" s="34" t="s">
        <v>0</v>
      </c>
      <c r="C2" s="34" t="s">
        <v>21</v>
      </c>
      <c r="D2" s="34"/>
      <c r="E2" s="33" t="s">
        <v>24</v>
      </c>
    </row>
    <row r="3" spans="2:5" x14ac:dyDescent="0.25">
      <c r="B3" s="34"/>
      <c r="C3" s="9" t="s">
        <v>25</v>
      </c>
      <c r="D3" s="9" t="s">
        <v>26</v>
      </c>
      <c r="E3" s="33"/>
    </row>
    <row r="4" spans="2:5" x14ac:dyDescent="0.25">
      <c r="B4" s="3" t="s">
        <v>4</v>
      </c>
      <c r="C4" s="4">
        <v>1453486</v>
      </c>
      <c r="D4" s="4">
        <v>1395492</v>
      </c>
      <c r="E4" s="4">
        <f>SUM(C4:D4)</f>
        <v>2848978</v>
      </c>
    </row>
    <row r="5" spans="2:5" x14ac:dyDescent="0.25">
      <c r="B5" s="3" t="s">
        <v>5</v>
      </c>
      <c r="C5" s="5">
        <v>1378005</v>
      </c>
      <c r="D5" s="4">
        <v>1314670</v>
      </c>
      <c r="E5" s="4">
        <f t="shared" ref="E5:E20" si="0">SUM(C5:D5)</f>
        <v>2692675</v>
      </c>
    </row>
    <row r="6" spans="2:5" x14ac:dyDescent="0.25">
      <c r="B6" s="3" t="s">
        <v>6</v>
      </c>
      <c r="C6" s="4">
        <v>1388617</v>
      </c>
      <c r="D6" s="4">
        <v>1324616</v>
      </c>
      <c r="E6" s="4">
        <f t="shared" si="0"/>
        <v>2713233</v>
      </c>
    </row>
    <row r="7" spans="2:5" x14ac:dyDescent="0.25">
      <c r="B7" s="3" t="s">
        <v>7</v>
      </c>
      <c r="C7" s="4">
        <v>1434037</v>
      </c>
      <c r="D7" s="4">
        <v>1349663</v>
      </c>
      <c r="E7" s="4">
        <f t="shared" si="0"/>
        <v>2783700</v>
      </c>
    </row>
    <row r="8" spans="2:5" x14ac:dyDescent="0.25">
      <c r="B8" s="3" t="s">
        <v>8</v>
      </c>
      <c r="C8" s="4">
        <v>1453872</v>
      </c>
      <c r="D8" s="4">
        <v>1371580</v>
      </c>
      <c r="E8" s="4">
        <f t="shared" si="0"/>
        <v>2825452</v>
      </c>
    </row>
    <row r="9" spans="2:5" x14ac:dyDescent="0.25">
      <c r="B9" s="3" t="s">
        <v>9</v>
      </c>
      <c r="C9" s="4">
        <v>1488450</v>
      </c>
      <c r="D9" s="4">
        <v>1405197</v>
      </c>
      <c r="E9" s="4">
        <f t="shared" si="0"/>
        <v>2893647</v>
      </c>
    </row>
    <row r="10" spans="2:5" x14ac:dyDescent="0.25">
      <c r="B10" s="3" t="s">
        <v>10</v>
      </c>
      <c r="C10" s="4">
        <v>1478667</v>
      </c>
      <c r="D10" s="4">
        <v>1407466</v>
      </c>
      <c r="E10" s="4">
        <f t="shared" si="0"/>
        <v>2886133</v>
      </c>
    </row>
    <row r="11" spans="2:5" x14ac:dyDescent="0.25">
      <c r="B11" s="3" t="s">
        <v>11</v>
      </c>
      <c r="C11" s="4">
        <v>1457127</v>
      </c>
      <c r="D11" s="4">
        <v>1406076</v>
      </c>
      <c r="E11" s="4">
        <f t="shared" si="0"/>
        <v>2863203</v>
      </c>
    </row>
    <row r="12" spans="2:5" x14ac:dyDescent="0.25">
      <c r="B12" s="3" t="s">
        <v>12</v>
      </c>
      <c r="C12" s="4">
        <v>1404285</v>
      </c>
      <c r="D12" s="4">
        <v>1376799</v>
      </c>
      <c r="E12" s="4">
        <f t="shared" si="0"/>
        <v>2781084</v>
      </c>
    </row>
    <row r="13" spans="2:5" x14ac:dyDescent="0.25">
      <c r="B13" s="3" t="s">
        <v>13</v>
      </c>
      <c r="C13" s="4">
        <v>1344073</v>
      </c>
      <c r="D13" s="4">
        <v>1352647</v>
      </c>
      <c r="E13" s="4">
        <f t="shared" si="0"/>
        <v>2696720</v>
      </c>
    </row>
    <row r="14" spans="2:5" x14ac:dyDescent="0.25">
      <c r="B14" s="3" t="s">
        <v>14</v>
      </c>
      <c r="C14" s="4">
        <v>1229032</v>
      </c>
      <c r="D14" s="4">
        <v>1260829</v>
      </c>
      <c r="E14" s="4">
        <f t="shared" si="0"/>
        <v>2489861</v>
      </c>
    </row>
    <row r="15" spans="2:5" x14ac:dyDescent="0.25">
      <c r="B15" s="3" t="s">
        <v>15</v>
      </c>
      <c r="C15" s="4">
        <v>1100859</v>
      </c>
      <c r="D15" s="4">
        <v>1156162</v>
      </c>
      <c r="E15" s="4">
        <f t="shared" si="0"/>
        <v>2257021</v>
      </c>
    </row>
    <row r="16" spans="2:5" x14ac:dyDescent="0.25">
      <c r="B16" s="3" t="s">
        <v>16</v>
      </c>
      <c r="C16" s="4">
        <v>920100</v>
      </c>
      <c r="D16" s="4">
        <v>984473</v>
      </c>
      <c r="E16" s="4">
        <f t="shared" si="0"/>
        <v>1904573</v>
      </c>
    </row>
    <row r="17" spans="2:5" x14ac:dyDescent="0.25">
      <c r="B17" s="3" t="s">
        <v>17</v>
      </c>
      <c r="C17" s="4">
        <v>721747</v>
      </c>
      <c r="D17" s="4">
        <v>779311</v>
      </c>
      <c r="E17" s="4">
        <f t="shared" si="0"/>
        <v>1501058</v>
      </c>
    </row>
    <row r="18" spans="2:5" x14ac:dyDescent="0.25">
      <c r="B18" s="3" t="s">
        <v>18</v>
      </c>
      <c r="C18" s="4">
        <v>500418</v>
      </c>
      <c r="D18" s="4">
        <v>558377</v>
      </c>
      <c r="E18" s="4">
        <f t="shared" si="0"/>
        <v>1058795</v>
      </c>
    </row>
    <row r="19" spans="2:5" x14ac:dyDescent="0.25">
      <c r="B19" s="6" t="s">
        <v>19</v>
      </c>
      <c r="C19" s="4">
        <v>450659</v>
      </c>
      <c r="D19" s="4">
        <v>587141</v>
      </c>
      <c r="E19" s="4">
        <f t="shared" si="0"/>
        <v>1037800</v>
      </c>
    </row>
    <row r="20" spans="2:5" x14ac:dyDescent="0.25">
      <c r="B20" s="7" t="s">
        <v>20</v>
      </c>
      <c r="C20" s="8">
        <f>SUM(C4:C19)</f>
        <v>19203434</v>
      </c>
      <c r="D20" s="8">
        <f>SUM(D4:D19)</f>
        <v>19030499</v>
      </c>
      <c r="E20" s="8">
        <f t="shared" si="0"/>
        <v>38233933</v>
      </c>
    </row>
    <row r="22" spans="2:5" x14ac:dyDescent="0.25">
      <c r="B22" s="10" t="s">
        <v>46</v>
      </c>
      <c r="C22" s="28">
        <f>C4+D4</f>
        <v>2848978</v>
      </c>
    </row>
    <row r="23" spans="2:5" x14ac:dyDescent="0.25">
      <c r="B23" s="10" t="s">
        <v>44</v>
      </c>
      <c r="C23" s="28">
        <f>SUM(D5:D13)</f>
        <v>12308714</v>
      </c>
    </row>
    <row r="24" spans="2:5" x14ac:dyDescent="0.25">
      <c r="B24" s="10" t="s">
        <v>45</v>
      </c>
      <c r="C24" s="26">
        <f>(C22/C23)*1000</f>
        <v>231.46024840612918</v>
      </c>
    </row>
  </sheetData>
  <mergeCells count="3">
    <mergeCell ref="B2:B3"/>
    <mergeCell ref="C2:D2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BPS</vt:lpstr>
      <vt:lpstr>Perhitungan</vt:lpstr>
      <vt:lpstr>Struktur Umur</vt:lpstr>
      <vt:lpstr>Piramida Penduduk</vt:lpstr>
      <vt:lpstr>Rasio Ketergantungan</vt:lpstr>
      <vt:lpstr>Rasio Jenis Kelamin</vt:lpstr>
      <vt:lpstr>Child Women Ratio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2026-02-01T03:45:33Z</dcterms:created>
  <dcterms:modified xsi:type="dcterms:W3CDTF">2026-02-05T10:17:29Z</dcterms:modified>
</cp:coreProperties>
</file>